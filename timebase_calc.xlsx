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python_projects\Epstein\"/>
    </mc:Choice>
  </mc:AlternateContent>
  <xr:revisionPtr revIDLastSave="0" documentId="13_ncr:1_{90828198-DE17-42C2-9DAF-E3AAD16B59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</workbook>
</file>

<file path=xl/calcChain.xml><?xml version="1.0" encoding="utf-8"?>
<calcChain xmlns="http://schemas.openxmlformats.org/spreadsheetml/2006/main">
  <c r="B19" i="1" l="1"/>
  <c r="K13" i="1"/>
  <c r="K12" i="1"/>
  <c r="K4" i="1"/>
  <c r="K5" i="1"/>
  <c r="K6" i="1"/>
  <c r="K7" i="1"/>
  <c r="K8" i="1"/>
  <c r="K9" i="1"/>
  <c r="K10" i="1"/>
  <c r="K11" i="1"/>
  <c r="K3" i="1"/>
  <c r="K2" i="1"/>
  <c r="H22" i="1"/>
  <c r="H23" i="1"/>
  <c r="H24" i="1"/>
  <c r="H25" i="1"/>
  <c r="H26" i="1"/>
  <c r="H27" i="1"/>
  <c r="H28" i="1"/>
  <c r="H21" i="1"/>
  <c r="H13" i="1"/>
  <c r="H14" i="1"/>
  <c r="H15" i="1"/>
  <c r="H16" i="1"/>
  <c r="H17" i="1"/>
  <c r="H18" i="1"/>
  <c r="H19" i="1"/>
  <c r="H20" i="1"/>
  <c r="H12" i="1"/>
  <c r="H4" i="1"/>
  <c r="H5" i="1"/>
  <c r="H6" i="1"/>
  <c r="H7" i="1"/>
  <c r="H8" i="1"/>
  <c r="H9" i="1"/>
  <c r="H10" i="1"/>
  <c r="H11" i="1"/>
  <c r="H3" i="1"/>
  <c r="H2" i="1"/>
  <c r="E22" i="1"/>
  <c r="E23" i="1"/>
  <c r="E24" i="1"/>
  <c r="E25" i="1"/>
  <c r="E26" i="1"/>
  <c r="E27" i="1"/>
  <c r="E28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B15" i="1"/>
  <c r="B21" i="1"/>
  <c r="B20" i="1"/>
  <c r="B18" i="1"/>
  <c r="B17" i="1"/>
  <c r="B16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<sst xmlns="http://schemas.openxmlformats.org/spreadsheetml/2006/main" count="12" uniqueCount="6">
  <si>
    <t>Timebase</t>
  </si>
  <si>
    <t>Sample interval</t>
  </si>
  <si>
    <t>ns</t>
  </si>
  <si>
    <t>mks</t>
  </si>
  <si>
    <t>ms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</si>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</sst>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E13" sqref="E13"/>
    </sheetView>
  </sheetViews>
  <sheetFormatPr defaultColWidth="10.42578125" defaultRowHeight="12.75" x14ac:dyDescent="0.2"/>
  <cols>
    <col min="1" max="1" width="9" bestFit="1" customWidth="1"/>
    <col min="2" max="2" width="13.7109375" bestFit="1" customWidth="1"/>
    <col min="5" max="5" width="13.7109375" bestFit="1" customWidth="1"/>
    <col min="7" max="7" width="10" bestFit="1" customWidth="1"/>
    <col min="8" max="8" width="13.7109375" bestFit="1" customWidth="1"/>
    <col min="10" max="10" width="11" bestFit="1" customWidth="1"/>
  </cols>
  <sheetData>
    <row r="1" spans="1:12" x14ac:dyDescent="0.2">
      <c r="A1" t="s">
        <v>0</v>
      </c>
      <c r="B1" t="s">
        <v>1</v>
      </c>
      <c r="D1" t="s">
        <v>0</v>
      </c>
      <c r="E1" t="s">
        <v>1</v>
      </c>
      <c r="G1" t="s">
        <v>0</v>
      </c>
      <c r="H1" t="s">
        <v>1</v>
      </c>
      <c r="J1" t="s">
        <v>0</v>
      </c>
      <c r="K1" t="s">
        <v>1</v>
      </c>
    </row>
    <row r="2" spans="1:12" x14ac:dyDescent="0.2">
      <c r="A2">
        <v>0</v>
      </c>
      <c r="B2">
        <f>2^A2</f>
        <v>1</v>
      </c>
      <c r="C2" t="s">
        <v>2</v>
      </c>
      <c r="D2">
        <v>127</v>
      </c>
      <c r="E2">
        <f t="shared" ref="E2:E10" si="0">(D2-2)/125</f>
        <v>1</v>
      </c>
      <c r="F2" t="s">
        <v>3</v>
      </c>
      <c r="G2">
        <v>125002</v>
      </c>
      <c r="H2">
        <f>(G2-2)/125000</f>
        <v>1</v>
      </c>
      <c r="I2" t="s">
        <v>4</v>
      </c>
      <c r="J2">
        <v>125000002</v>
      </c>
      <c r="K2">
        <f>(J2-2)/125000000</f>
        <v>1</v>
      </c>
      <c r="L2" t="s">
        <v>5</v>
      </c>
    </row>
    <row r="3" spans="1:12" x14ac:dyDescent="0.2">
      <c r="A3">
        <v>1</v>
      </c>
      <c r="B3">
        <f>2^A3</f>
        <v>2</v>
      </c>
      <c r="D3">
        <v>252</v>
      </c>
      <c r="E3">
        <f t="shared" si="0"/>
        <v>2</v>
      </c>
      <c r="G3">
        <v>250002</v>
      </c>
      <c r="H3">
        <f>(G3-2)/125000</f>
        <v>2</v>
      </c>
      <c r="J3">
        <v>250000002</v>
      </c>
      <c r="K3">
        <f>(J3-2)/125000000</f>
        <v>2</v>
      </c>
    </row>
    <row r="4" spans="1:12" x14ac:dyDescent="0.2">
      <c r="A4">
        <v>2</v>
      </c>
      <c r="B4">
        <f>2^A4</f>
        <v>4</v>
      </c>
      <c r="D4">
        <v>377</v>
      </c>
      <c r="E4">
        <f t="shared" si="0"/>
        <v>3</v>
      </c>
      <c r="G4">
        <v>375002</v>
      </c>
      <c r="H4">
        <f t="shared" ref="H4:H19" si="1">(G4-2)/125000</f>
        <v>3</v>
      </c>
      <c r="J4">
        <v>375000002</v>
      </c>
      <c r="K4">
        <f t="shared" ref="K4:K13" si="2">(J4-2)/125000000</f>
        <v>3</v>
      </c>
    </row>
    <row r="5" spans="1:12" x14ac:dyDescent="0.2">
      <c r="A5">
        <v>3</v>
      </c>
      <c r="B5">
        <f>(A5-2)/0.125</f>
        <v>8</v>
      </c>
      <c r="D5">
        <v>502</v>
      </c>
      <c r="E5">
        <f t="shared" si="0"/>
        <v>4</v>
      </c>
      <c r="G5">
        <v>500002</v>
      </c>
      <c r="H5">
        <f t="shared" si="1"/>
        <v>4</v>
      </c>
      <c r="J5">
        <v>500000002</v>
      </c>
      <c r="K5">
        <f t="shared" si="2"/>
        <v>4</v>
      </c>
    </row>
    <row r="6" spans="1:12" x14ac:dyDescent="0.2">
      <c r="A6">
        <v>4</v>
      </c>
      <c r="B6">
        <f>(A6-2)/0.125</f>
        <v>16</v>
      </c>
      <c r="D6">
        <v>627</v>
      </c>
      <c r="E6">
        <f t="shared" si="0"/>
        <v>5</v>
      </c>
      <c r="G6">
        <v>625002</v>
      </c>
      <c r="H6">
        <f t="shared" si="1"/>
        <v>5</v>
      </c>
      <c r="J6">
        <v>625000002</v>
      </c>
      <c r="K6">
        <f t="shared" si="2"/>
        <v>5</v>
      </c>
    </row>
    <row r="7" spans="1:12" x14ac:dyDescent="0.2">
      <c r="A7">
        <v>5</v>
      </c>
      <c r="B7">
        <f t="shared" ref="B7:B21" si="3">(A7-2)/0.125</f>
        <v>24</v>
      </c>
      <c r="D7">
        <v>752</v>
      </c>
      <c r="E7">
        <f t="shared" si="0"/>
        <v>6</v>
      </c>
      <c r="G7">
        <v>750002</v>
      </c>
      <c r="H7">
        <f t="shared" si="1"/>
        <v>6</v>
      </c>
      <c r="J7">
        <v>750000002</v>
      </c>
      <c r="K7">
        <f t="shared" si="2"/>
        <v>6</v>
      </c>
    </row>
    <row r="8" spans="1:12" x14ac:dyDescent="0.2">
      <c r="A8">
        <v>6</v>
      </c>
      <c r="B8">
        <f t="shared" si="3"/>
        <v>32</v>
      </c>
      <c r="D8">
        <v>877</v>
      </c>
      <c r="E8">
        <f t="shared" si="0"/>
        <v>7</v>
      </c>
      <c r="G8">
        <v>875002</v>
      </c>
      <c r="H8">
        <f t="shared" si="1"/>
        <v>7</v>
      </c>
      <c r="J8">
        <v>875000002</v>
      </c>
      <c r="K8">
        <f t="shared" si="2"/>
        <v>7</v>
      </c>
    </row>
    <row r="9" spans="1:12" x14ac:dyDescent="0.2">
      <c r="A9">
        <v>7</v>
      </c>
      <c r="B9">
        <f t="shared" si="3"/>
        <v>40</v>
      </c>
      <c r="D9">
        <v>1002</v>
      </c>
      <c r="E9">
        <f t="shared" si="0"/>
        <v>8</v>
      </c>
      <c r="G9">
        <v>1000002</v>
      </c>
      <c r="H9">
        <f t="shared" si="1"/>
        <v>8</v>
      </c>
      <c r="J9">
        <v>1000000002</v>
      </c>
      <c r="K9">
        <f t="shared" si="2"/>
        <v>8</v>
      </c>
    </row>
    <row r="10" spans="1:12" x14ac:dyDescent="0.2">
      <c r="A10">
        <v>8</v>
      </c>
      <c r="B10">
        <f t="shared" si="3"/>
        <v>48</v>
      </c>
      <c r="D10">
        <v>1127</v>
      </c>
      <c r="E10">
        <f t="shared" si="0"/>
        <v>9</v>
      </c>
      <c r="G10">
        <v>1125002</v>
      </c>
      <c r="H10">
        <f t="shared" si="1"/>
        <v>9</v>
      </c>
      <c r="J10">
        <v>1125000002</v>
      </c>
      <c r="K10">
        <f t="shared" si="2"/>
        <v>9</v>
      </c>
    </row>
    <row r="11" spans="1:12" x14ac:dyDescent="0.2">
      <c r="A11">
        <v>9</v>
      </c>
      <c r="B11">
        <f t="shared" si="3"/>
        <v>56</v>
      </c>
      <c r="D11">
        <v>1252</v>
      </c>
      <c r="E11">
        <f t="shared" ref="E11:E28" si="4">(D11-2)/125</f>
        <v>10</v>
      </c>
      <c r="G11">
        <v>1250002</v>
      </c>
      <c r="H11">
        <f t="shared" si="1"/>
        <v>10</v>
      </c>
      <c r="J11">
        <v>1250000002</v>
      </c>
      <c r="K11">
        <f t="shared" si="2"/>
        <v>10</v>
      </c>
    </row>
    <row r="12" spans="1:12" x14ac:dyDescent="0.2">
      <c r="A12">
        <v>10</v>
      </c>
      <c r="B12">
        <f t="shared" si="3"/>
        <v>64</v>
      </c>
      <c r="D12">
        <v>2502</v>
      </c>
      <c r="E12">
        <f t="shared" si="4"/>
        <v>20</v>
      </c>
      <c r="G12">
        <v>2500002</v>
      </c>
      <c r="H12">
        <f t="shared" ref="H12:H28" si="5">(G12-2)/125000</f>
        <v>20</v>
      </c>
      <c r="J12">
        <v>2500000002</v>
      </c>
      <c r="K12">
        <f t="shared" ref="K12" si="6">(J12-2)/125000000</f>
        <v>20</v>
      </c>
    </row>
    <row r="13" spans="1:12" x14ac:dyDescent="0.2">
      <c r="A13">
        <v>11</v>
      </c>
      <c r="B13">
        <f t="shared" si="3"/>
        <v>72</v>
      </c>
      <c r="D13">
        <v>3752</v>
      </c>
      <c r="E13">
        <f t="shared" si="4"/>
        <v>30</v>
      </c>
      <c r="G13">
        <v>3750002</v>
      </c>
      <c r="H13">
        <f t="shared" si="1"/>
        <v>30</v>
      </c>
      <c r="J13">
        <v>3750000002</v>
      </c>
      <c r="K13">
        <f t="shared" si="2"/>
        <v>30</v>
      </c>
    </row>
    <row r="14" spans="1:12" x14ac:dyDescent="0.2">
      <c r="A14">
        <v>12</v>
      </c>
      <c r="B14">
        <f t="shared" si="3"/>
        <v>80</v>
      </c>
      <c r="D14">
        <v>5002</v>
      </c>
      <c r="E14">
        <f t="shared" si="4"/>
        <v>40</v>
      </c>
      <c r="G14">
        <v>5000002</v>
      </c>
      <c r="H14">
        <f t="shared" si="5"/>
        <v>40</v>
      </c>
    </row>
    <row r="15" spans="1:12" x14ac:dyDescent="0.2">
      <c r="A15">
        <v>13</v>
      </c>
      <c r="B15">
        <f t="shared" si="3"/>
        <v>88</v>
      </c>
      <c r="D15">
        <v>6252</v>
      </c>
      <c r="E15">
        <f t="shared" si="4"/>
        <v>50</v>
      </c>
      <c r="G15">
        <v>6250002</v>
      </c>
      <c r="H15">
        <f t="shared" si="1"/>
        <v>50</v>
      </c>
    </row>
    <row r="16" spans="1:12" x14ac:dyDescent="0.2">
      <c r="A16">
        <v>14</v>
      </c>
      <c r="B16">
        <f t="shared" si="3"/>
        <v>96</v>
      </c>
      <c r="D16">
        <v>7502</v>
      </c>
      <c r="E16">
        <f t="shared" si="4"/>
        <v>60</v>
      </c>
      <c r="G16">
        <v>7500002</v>
      </c>
      <c r="H16">
        <f t="shared" si="5"/>
        <v>60</v>
      </c>
    </row>
    <row r="17" spans="1:8" x14ac:dyDescent="0.2">
      <c r="A17">
        <v>27</v>
      </c>
      <c r="B17">
        <f t="shared" si="3"/>
        <v>200</v>
      </c>
      <c r="D17">
        <v>8752</v>
      </c>
      <c r="E17">
        <f t="shared" si="4"/>
        <v>70</v>
      </c>
      <c r="G17">
        <v>8750002</v>
      </c>
      <c r="H17">
        <f t="shared" si="1"/>
        <v>70</v>
      </c>
    </row>
    <row r="18" spans="1:8" x14ac:dyDescent="0.2">
      <c r="A18">
        <v>52</v>
      </c>
      <c r="B18">
        <f t="shared" si="3"/>
        <v>400</v>
      </c>
      <c r="D18">
        <v>10002</v>
      </c>
      <c r="E18">
        <f t="shared" si="4"/>
        <v>80</v>
      </c>
      <c r="G18">
        <v>10000002</v>
      </c>
      <c r="H18">
        <f t="shared" si="5"/>
        <v>80</v>
      </c>
    </row>
    <row r="19" spans="1:8" x14ac:dyDescent="0.2">
      <c r="A19">
        <v>65</v>
      </c>
      <c r="B19">
        <f t="shared" ref="B19" si="7">(A19-2)/0.125</f>
        <v>504</v>
      </c>
      <c r="D19">
        <v>11252</v>
      </c>
      <c r="E19">
        <f t="shared" si="4"/>
        <v>90</v>
      </c>
      <c r="G19">
        <v>11250002</v>
      </c>
      <c r="H19">
        <f t="shared" si="1"/>
        <v>90</v>
      </c>
    </row>
    <row r="20" spans="1:8" x14ac:dyDescent="0.2">
      <c r="A20">
        <v>77</v>
      </c>
      <c r="B20">
        <f t="shared" si="3"/>
        <v>600</v>
      </c>
      <c r="D20">
        <v>12502</v>
      </c>
      <c r="E20">
        <f t="shared" si="4"/>
        <v>100</v>
      </c>
      <c r="G20">
        <v>12500002</v>
      </c>
      <c r="H20">
        <f t="shared" si="5"/>
        <v>100</v>
      </c>
    </row>
    <row r="21" spans="1:8" x14ac:dyDescent="0.2">
      <c r="A21">
        <v>102</v>
      </c>
      <c r="B21">
        <f t="shared" si="3"/>
        <v>800</v>
      </c>
      <c r="D21">
        <v>25002</v>
      </c>
      <c r="E21">
        <f t="shared" si="4"/>
        <v>200</v>
      </c>
      <c r="G21">
        <v>25000002</v>
      </c>
      <c r="H21">
        <f t="shared" si="5"/>
        <v>200</v>
      </c>
    </row>
    <row r="22" spans="1:8" x14ac:dyDescent="0.2">
      <c r="D22">
        <v>37502</v>
      </c>
      <c r="E22">
        <f t="shared" si="4"/>
        <v>300</v>
      </c>
      <c r="G22">
        <v>37500002</v>
      </c>
      <c r="H22">
        <f t="shared" si="5"/>
        <v>300</v>
      </c>
    </row>
    <row r="23" spans="1:8" x14ac:dyDescent="0.2">
      <c r="D23">
        <v>50002</v>
      </c>
      <c r="E23">
        <f t="shared" si="4"/>
        <v>400</v>
      </c>
      <c r="G23">
        <v>50000002</v>
      </c>
      <c r="H23">
        <f t="shared" si="5"/>
        <v>400</v>
      </c>
    </row>
    <row r="24" spans="1:8" x14ac:dyDescent="0.2">
      <c r="D24">
        <v>62502</v>
      </c>
      <c r="E24">
        <f t="shared" si="4"/>
        <v>500</v>
      </c>
      <c r="G24">
        <v>62500002</v>
      </c>
      <c r="H24">
        <f t="shared" si="5"/>
        <v>500</v>
      </c>
    </row>
    <row r="25" spans="1:8" x14ac:dyDescent="0.2">
      <c r="D25">
        <v>75002</v>
      </c>
      <c r="E25">
        <f t="shared" si="4"/>
        <v>600</v>
      </c>
      <c r="G25">
        <v>75000002</v>
      </c>
      <c r="H25">
        <f t="shared" si="5"/>
        <v>600</v>
      </c>
    </row>
    <row r="26" spans="1:8" x14ac:dyDescent="0.2">
      <c r="D26">
        <v>87502</v>
      </c>
      <c r="E26">
        <f t="shared" si="4"/>
        <v>700</v>
      </c>
      <c r="G26">
        <v>87500002</v>
      </c>
      <c r="H26">
        <f t="shared" si="5"/>
        <v>700</v>
      </c>
    </row>
    <row r="27" spans="1:8" x14ac:dyDescent="0.2">
      <c r="D27">
        <v>100002</v>
      </c>
      <c r="E27">
        <f t="shared" si="4"/>
        <v>800</v>
      </c>
      <c r="G27">
        <v>100000002</v>
      </c>
      <c r="H27">
        <f t="shared" si="5"/>
        <v>800</v>
      </c>
    </row>
    <row r="28" spans="1:8" x14ac:dyDescent="0.2">
      <c r="D28">
        <v>112502</v>
      </c>
      <c r="E28">
        <f t="shared" si="4"/>
        <v>900</v>
      </c>
      <c r="G28">
        <v>112500002</v>
      </c>
      <c r="H28">
        <f t="shared" si="5"/>
        <v>900</v>
      </c>
    </row>
  </sheetData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Степан Март</cp:lastModifiedBy>
  <cp:revision>28</cp:revision>
  <dcterms:created xsi:type="dcterms:W3CDTF">2023-08-25T14:01:22Z</dcterms:created>
  <dcterms:modified xsi:type="dcterms:W3CDTF">2025-04-17T14:09:45Z</dcterms:modified>
  <dc:language>ru-RU</dc:language>
</cp:coreProperties>
</file>